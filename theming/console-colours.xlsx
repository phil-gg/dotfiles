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trobus\Downloads\"/>
    </mc:Choice>
  </mc:AlternateContent>
  <xr:revisionPtr revIDLastSave="0" documentId="13_ncr:1_{E469C4E0-F6F4-4257-9DA8-3474D21179EC}" xr6:coauthVersionLast="47" xr6:coauthVersionMax="47" xr10:uidLastSave="{00000000-0000-0000-0000-000000000000}"/>
  <bookViews>
    <workbookView xWindow="28692" yWindow="-108" windowWidth="30936" windowHeight="16776" xr2:uid="{40DC7C38-89D6-4B18-8CC0-FF50BD511B5A}"/>
  </bookViews>
  <sheets>
    <sheet name="ColourSwatches" sheetId="1" r:id="rId1"/>
    <sheet name="ThemeJS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2" i="1" l="1"/>
  <c r="J23" i="1"/>
  <c r="J24" i="1"/>
  <c r="J25" i="1"/>
  <c r="J26" i="1"/>
  <c r="J27" i="1"/>
  <c r="J28" i="1"/>
  <c r="T23" i="1"/>
  <c r="D7" i="4" s="1"/>
  <c r="T22" i="1"/>
  <c r="D6" i="4" s="1"/>
  <c r="T21" i="1"/>
  <c r="T20" i="1"/>
  <c r="T19" i="1"/>
  <c r="T18" i="1"/>
  <c r="D22" i="4" s="1"/>
  <c r="T17" i="1"/>
  <c r="D21" i="4" s="1"/>
  <c r="T16" i="1"/>
  <c r="D20" i="4" s="1"/>
  <c r="T15" i="1"/>
  <c r="D19" i="4" s="1"/>
  <c r="T14" i="1"/>
  <c r="D18" i="4" s="1"/>
  <c r="T13" i="1"/>
  <c r="D17" i="4" s="1"/>
  <c r="T12" i="1"/>
  <c r="D16" i="4" s="1"/>
  <c r="T11" i="1"/>
  <c r="D15" i="4" s="1"/>
  <c r="T10" i="1"/>
  <c r="D14" i="4" s="1"/>
  <c r="T9" i="1"/>
  <c r="D13" i="4" s="1"/>
  <c r="T8" i="1"/>
  <c r="T7" i="1"/>
  <c r="D11" i="4" s="1"/>
  <c r="T6" i="1"/>
  <c r="T5" i="1"/>
  <c r="D9" i="4" s="1"/>
  <c r="T4" i="1"/>
  <c r="D8" i="4" s="1"/>
  <c r="D23" i="4"/>
  <c r="D12" i="4"/>
  <c r="D10" i="4"/>
  <c r="D5" i="4"/>
  <c r="D4" i="4"/>
  <c r="T2" i="1"/>
  <c r="D3" i="4" s="1"/>
  <c r="P21" i="1"/>
  <c r="Q20" i="1" s="1"/>
  <c r="P20" i="1"/>
  <c r="Q21" i="1" s="1"/>
  <c r="P23" i="1"/>
  <c r="Q22" i="1" s="1"/>
  <c r="P22" i="1"/>
  <c r="Q23" i="1" s="1"/>
  <c r="N19" i="1"/>
  <c r="N18" i="1"/>
  <c r="N17" i="1"/>
  <c r="N16" i="1"/>
  <c r="N15" i="1"/>
  <c r="N14" i="1"/>
  <c r="N13" i="1"/>
  <c r="N12" i="1"/>
  <c r="P19" i="1"/>
  <c r="Q11" i="1" s="1"/>
  <c r="P18" i="1"/>
  <c r="Q10" i="1" s="1"/>
  <c r="P17" i="1"/>
  <c r="Q9" i="1" s="1"/>
  <c r="P16" i="1"/>
  <c r="Q8" i="1" s="1"/>
  <c r="P15" i="1"/>
  <c r="Q7" i="1" s="1"/>
  <c r="P14" i="1"/>
  <c r="Q6" i="1" s="1"/>
  <c r="P13" i="1"/>
  <c r="Q5" i="1" s="1"/>
  <c r="P12" i="1"/>
  <c r="Q4" i="1" s="1"/>
  <c r="P11" i="1"/>
  <c r="Q19" i="1" s="1"/>
  <c r="P10" i="1"/>
  <c r="Q18" i="1" s="1"/>
  <c r="P9" i="1"/>
  <c r="Q17" i="1" s="1"/>
  <c r="P8" i="1"/>
  <c r="Q16" i="1" s="1"/>
  <c r="P7" i="1"/>
  <c r="Q15" i="1" s="1"/>
  <c r="P6" i="1"/>
  <c r="Q14" i="1" s="1"/>
  <c r="P5" i="1"/>
  <c r="Q13" i="1" s="1"/>
  <c r="P4" i="1"/>
  <c r="Q12" i="1" s="1"/>
  <c r="M4" i="1" a="1"/>
  <c r="M4" i="1" s="1"/>
  <c r="J19" i="1"/>
  <c r="K11" i="1" s="1"/>
  <c r="J18" i="1"/>
  <c r="K10" i="1" s="1"/>
  <c r="J17" i="1"/>
  <c r="K9" i="1" s="1"/>
  <c r="J16" i="1"/>
  <c r="K8" i="1" s="1"/>
  <c r="J15" i="1"/>
  <c r="K7" i="1" s="1"/>
  <c r="J14" i="1"/>
  <c r="K6" i="1" s="1"/>
  <c r="J13" i="1"/>
  <c r="K5" i="1" s="1"/>
  <c r="J12" i="1"/>
  <c r="K4" i="1" s="1"/>
  <c r="J11" i="1"/>
  <c r="K19" i="1" s="1"/>
  <c r="J10" i="1"/>
  <c r="K18" i="1" s="1"/>
  <c r="J9" i="1"/>
  <c r="K17" i="1" s="1"/>
  <c r="J8" i="1"/>
  <c r="K16" i="1" s="1"/>
  <c r="J7" i="1"/>
  <c r="K15" i="1" s="1"/>
  <c r="J6" i="1"/>
  <c r="K14" i="1" s="1"/>
  <c r="J5" i="1"/>
  <c r="K13" i="1" s="1"/>
  <c r="J4" i="1"/>
  <c r="K12" i="1" s="1"/>
  <c r="G4" i="1" a="1"/>
  <c r="G4" i="1" s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4" i="1" a="1"/>
  <c r="B4" i="1" s="1"/>
  <c r="E4" i="1"/>
  <c r="X25" i="1" l="1" a="1"/>
  <c r="X25" i="1" s="1"/>
  <c r="Y25" i="1" a="1"/>
  <c r="Y25" i="1" s="1"/>
  <c r="P25" i="1" a="1"/>
  <c r="P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</futureMetadata>
  <cellMetadata count="1">
    <bk>
      <rc t="1" v="0"/>
    </bk>
  </cellMetadata>
  <valueMetadata count="8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</valueMetadata>
</metadata>
</file>

<file path=xl/sharedStrings.xml><?xml version="1.0" encoding="utf-8"?>
<sst xmlns="http://schemas.openxmlformats.org/spreadsheetml/2006/main" count="134" uniqueCount="107">
  <si>
    <t>RGB</t>
  </si>
  <si>
    <t>aa0000</t>
  </si>
  <si>
    <t>ANSI</t>
  </si>
  <si>
    <t>#</t>
  </si>
  <si>
    <t>Name</t>
  </si>
  <si>
    <t>Black</t>
  </si>
  <si>
    <t>Red</t>
  </si>
  <si>
    <t>Green</t>
  </si>
  <si>
    <t>Brown / Yellow</t>
  </si>
  <si>
    <t>Blue</t>
  </si>
  <si>
    <t>Magenta</t>
  </si>
  <si>
    <t>Cyan</t>
  </si>
  <si>
    <t>Light Grey</t>
  </si>
  <si>
    <t>Dark Grey</t>
  </si>
  <si>
    <t>Light Red</t>
  </si>
  <si>
    <t>Light Green</t>
  </si>
  <si>
    <t>Yellow</t>
  </si>
  <si>
    <t>Light Blue</t>
  </si>
  <si>
    <t>Light Cyan</t>
  </si>
  <si>
    <t>White</t>
  </si>
  <si>
    <t>Light Magenta</t>
  </si>
  <si>
    <t>000000</t>
  </si>
  <si>
    <t>00aa00</t>
  </si>
  <si>
    <t>aa5500</t>
  </si>
  <si>
    <t>0000aa</t>
  </si>
  <si>
    <t>aa00aa</t>
  </si>
  <si>
    <t>00aaaa</t>
  </si>
  <si>
    <t>aaaaaa</t>
  </si>
  <si>
    <t>555555</t>
  </si>
  <si>
    <t>ff5555</t>
  </si>
  <si>
    <t>55ff55</t>
  </si>
  <si>
    <t>ffff55</t>
  </si>
  <si>
    <t>5555ff</t>
  </si>
  <si>
    <t>ff55ff</t>
  </si>
  <si>
    <t>55ffff</t>
  </si>
  <si>
    <t>ffffff</t>
  </si>
  <si>
    <t>333333</t>
  </si>
  <si>
    <t>bb0000</t>
  </si>
  <si>
    <t>Belize</t>
  </si>
  <si>
    <t>e78c07</t>
  </si>
  <si>
    <t>2b7d2b</t>
  </si>
  <si>
    <t>427cac</t>
  </si>
  <si>
    <t>ff8888</t>
  </si>
  <si>
    <t>fabd64</t>
  </si>
  <si>
    <t>abe2ab</t>
  </si>
  <si>
    <t>91c8f6</t>
  </si>
  <si>
    <t>eff4f9</t>
  </si>
  <si>
    <t>bfbfbf</t>
  </si>
  <si>
    <t>3f5161</t>
  </si>
  <si>
    <t>Primary 2 Brand Highlight / Semantic Information</t>
  </si>
  <si>
    <t>Primary 2 Contrast Highlight / Semantic Information</t>
  </si>
  <si>
    <t>Primary 3 Global Light Base</t>
  </si>
  <si>
    <t>True Black</t>
  </si>
  <si>
    <t>Primary 6 Borders &amp; Derived Controls</t>
  </si>
  <si>
    <t>Primary 1 Global Contrast Base</t>
  </si>
  <si>
    <t>Semantic Negative</t>
  </si>
  <si>
    <t>Semantic Positive</t>
  </si>
  <si>
    <t>Semantic Critical</t>
  </si>
  <si>
    <t>ab218e</t>
  </si>
  <si>
    <t>1a9898</t>
  </si>
  <si>
    <t>7fc6c6</t>
  </si>
  <si>
    <t>e269c9</t>
  </si>
  <si>
    <t>UI Indication8</t>
  </si>
  <si>
    <t>UI Indication 6</t>
  </si>
  <si>
    <t>cc0000</t>
  </si>
  <si>
    <t>009900</t>
  </si>
  <si>
    <t>ff9900</t>
  </si>
  <si>
    <t>0066cc</t>
  </si>
  <si>
    <t>00cccc</t>
  </si>
  <si>
    <t>ffcc66</t>
  </si>
  <si>
    <t>66ff66</t>
  </si>
  <si>
    <t>philConsole</t>
  </si>
  <si>
    <t>black</t>
  </si>
  <si>
    <t>red</t>
  </si>
  <si>
    <t>green</t>
  </si>
  <si>
    <t>yellow</t>
  </si>
  <si>
    <t>blue</t>
  </si>
  <si>
    <t>purple</t>
  </si>
  <si>
    <t>cyan</t>
  </si>
  <si>
    <t>white</t>
  </si>
  <si>
    <t>cursorColor</t>
  </si>
  <si>
    <t>selectionBackground</t>
  </si>
  <si>
    <t>background</t>
  </si>
  <si>
    <t>foreground</t>
  </si>
  <si>
    <t>dddddd</t>
  </si>
  <si>
    <t>testHighlight</t>
  </si>
  <si>
    <t>X</t>
  </si>
  <si>
    <t>name</t>
  </si>
  <si>
    <t>{</t>
  </si>
  <si>
    <t>}</t>
  </si>
  <si>
    <t>0</t>
  </si>
  <si>
    <t>36</t>
  </si>
  <si>
    <t>120</t>
  </si>
  <si>
    <t>180</t>
  </si>
  <si>
    <t>violet</t>
  </si>
  <si>
    <t>magenta</t>
  </si>
  <si>
    <t>320</t>
  </si>
  <si>
    <t>360</t>
  </si>
  <si>
    <t>210</t>
  </si>
  <si>
    <t>ff6666</t>
  </si>
  <si>
    <t>66bbff</t>
  </si>
  <si>
    <t>66ffff</t>
  </si>
  <si>
    <t>280</t>
  </si>
  <si>
    <t>8800cc</t>
  </si>
  <si>
    <t>bb99cc</t>
  </si>
  <si>
    <t>ff33bb</t>
  </si>
  <si>
    <t>ff99dd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</si>
</sst>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M#,##0_M"/>
    <numFmt numFmtId="166" formatCode="_M@_M"/>
    <numFmt numFmtId="167" formatCode="_.@_."/>
  </numFmts>
  <fonts count="4" x14ac:knownFonts="1">
    <font>
      <sz val="11"/>
      <color theme="1"/>
      <name val="Aptos Narrow"/>
      <family val="2"/>
      <scheme val="minor"/>
    </font>
    <font>
      <sz val="15"/>
      <color theme="0"/>
      <name val="Arial"/>
      <family val="2"/>
    </font>
    <font>
      <b/>
      <sz val="15"/>
      <color theme="0"/>
      <name val="Arial"/>
      <family val="2"/>
    </font>
    <font>
      <b/>
      <sz val="15"/>
      <color rgb="FFDDDDDD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CC80FF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thick">
        <color theme="0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thick">
        <color theme="0"/>
      </left>
      <right style="thick">
        <color theme="0"/>
      </right>
      <top style="thick">
        <color indexed="64"/>
      </top>
      <bottom style="thick">
        <color theme="0"/>
      </bottom>
      <diagonal/>
    </border>
    <border>
      <left style="thick">
        <color rgb="FF9900CC"/>
      </left>
      <right style="thick">
        <color rgb="FF9900CC"/>
      </right>
      <top style="thick">
        <color rgb="FF9900CC"/>
      </top>
      <bottom style="thick">
        <color rgb="FF9900CC"/>
      </bottom>
      <diagonal/>
    </border>
    <border>
      <left style="thick">
        <color rgb="FF9900CC"/>
      </left>
      <right style="thick">
        <color rgb="FFCC80FF"/>
      </right>
      <top style="thick">
        <color rgb="FFCC80FF"/>
      </top>
      <bottom style="thick">
        <color rgb="FFCC80FF"/>
      </bottom>
      <diagonal/>
    </border>
  </borders>
  <cellStyleXfs count="1">
    <xf numFmtId="0" fontId="0" fillId="0" borderId="0"/>
  </cellStyleXfs>
  <cellXfs count="33">
    <xf numFmtId="0" fontId="0" fillId="0" borderId="0" xfId="0"/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7" fontId="2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vertical="center"/>
    </xf>
    <xf numFmtId="166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2" xfId="0" applyNumberFormat="1" applyFont="1" applyFill="1" applyBorder="1" applyAlignment="1">
      <alignment vertical="center" wrapText="1"/>
    </xf>
    <xf numFmtId="166" fontId="2" fillId="2" borderId="5" xfId="0" applyNumberFormat="1" applyFon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67" fontId="2" fillId="2" borderId="11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vertical="center"/>
    </xf>
    <xf numFmtId="166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vertical="center"/>
    </xf>
    <xf numFmtId="166" fontId="3" fillId="4" borderId="14" xfId="0" applyNumberFormat="1" applyFont="1" applyFill="1" applyBorder="1" applyAlignment="1">
      <alignment vertical="center"/>
    </xf>
    <xf numFmtId="166" fontId="1" fillId="2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80FF"/>
      <color rgb="FF9900CC"/>
      <color rgb="FFB280FF"/>
      <color rgb="FFCC9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www.colorhexa.com/2b7d2b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www.colorhexa.com/66bbff.png" TargetMode="External"/><Relationship Id="rId63" Type="http://schemas.openxmlformats.org/officeDocument/2006/relationships/hyperlink" Target="https://www.colorhexa.com/7fc6c6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www.colorhexa.com/dddddd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www.colorhexa.com/bb0000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www.colorhexa.com/ffcc66.png" TargetMode="External"/><Relationship Id="rId53" Type="http://schemas.openxmlformats.org/officeDocument/2006/relationships/hyperlink" Target="https://www.colorhexa.com/e269c9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www.colorhexa.com/55ff55.png" TargetMode="External"/><Relationship Id="rId5" Type="http://schemas.openxmlformats.org/officeDocument/2006/relationships/hyperlink" Target="https://www.colorhexa.com/333333.png" TargetMode="External"/><Relationship Id="rId90" Type="http://schemas.openxmlformats.org/officeDocument/2006/relationships/image" Target="../media/image45.png"/><Relationship Id="rId22" Type="http://schemas.openxmlformats.org/officeDocument/2006/relationships/image" Target="../media/image11.png"/><Relationship Id="rId27" Type="http://schemas.openxmlformats.org/officeDocument/2006/relationships/hyperlink" Target="https://www.colorhexa.com/66ff66.png" TargetMode="External"/><Relationship Id="rId43" Type="http://schemas.openxmlformats.org/officeDocument/2006/relationships/hyperlink" Target="https://www.colorhexa.com/91c8f6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www.colorhexa.com/aaaaaa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www.colorhexa.com/ab218e.png" TargetMode="Externa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hyperlink" Target="https://www.colorhexa.com/ff55ff.png" TargetMode="External"/><Relationship Id="rId93" Type="http://schemas.openxmlformats.org/officeDocument/2006/relationships/hyperlink" Target="https://www.colorhexa.com/bb99cc.png" TargetMode="External"/><Relationship Id="rId3" Type="http://schemas.openxmlformats.org/officeDocument/2006/relationships/hyperlink" Target="https://www.colorhexa.com/3f5161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www.colorhexa.com/ff6666.png" TargetMode="External"/><Relationship Id="rId25" Type="http://schemas.openxmlformats.org/officeDocument/2006/relationships/hyperlink" Target="https://www.colorhexa.com/009900.png" TargetMode="External"/><Relationship Id="rId33" Type="http://schemas.openxmlformats.org/officeDocument/2006/relationships/hyperlink" Target="https://www.colorhexa.com/fabd64.png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www.colorhexa.com/00aaaa.png" TargetMode="External"/><Relationship Id="rId67" Type="http://schemas.openxmlformats.org/officeDocument/2006/relationships/hyperlink" Target="https://www.colorhexa.com/66ffff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colorhexa.com/427cac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www.colorhexa.com/ffffff.png" TargetMode="External"/><Relationship Id="rId83" Type="http://schemas.openxmlformats.org/officeDocument/2006/relationships/hyperlink" Target="https://www.colorhexa.com/5555ff.png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www.colorhexa.com/8800cc.png" TargetMode="External"/><Relationship Id="rId1" Type="http://schemas.openxmlformats.org/officeDocument/2006/relationships/hyperlink" Target="https://www.colorhexa.com/000000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www.colorhexa.com/cc0000.png" TargetMode="External"/><Relationship Id="rId23" Type="http://schemas.openxmlformats.org/officeDocument/2006/relationships/hyperlink" Target="https://www.colorhexa.com/abe2ab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www.colorhexa.com/aa00aa.png" TargetMode="External"/><Relationship Id="rId57" Type="http://schemas.openxmlformats.org/officeDocument/2006/relationships/hyperlink" Target="https://www.colorhexa.com/ff99dd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colorhexa.com/e78c07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www.colorhexa.com/00cccc.png" TargetMode="External"/><Relationship Id="rId73" Type="http://schemas.openxmlformats.org/officeDocument/2006/relationships/hyperlink" Target="https://www.colorhexa.com/eff4f9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www.colorhexa.com/ffff55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4" Type="http://schemas.openxmlformats.org/officeDocument/2006/relationships/image" Target="../media/image2.png"/><Relationship Id="rId9" Type="http://schemas.openxmlformats.org/officeDocument/2006/relationships/hyperlink" Target="https://www.colorhexa.com/aa0000.png" TargetMode="External"/><Relationship Id="rId13" Type="http://schemas.openxmlformats.org/officeDocument/2006/relationships/hyperlink" Target="https://www.colorhexa.com/ff8888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www.colorhexa.com/0000aa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www.colorhexa.com/ff33bb.png" TargetMode="External"/><Relationship Id="rId76" Type="http://schemas.openxmlformats.org/officeDocument/2006/relationships/image" Target="../media/image38.png"/><Relationship Id="rId7" Type="http://schemas.openxmlformats.org/officeDocument/2006/relationships/hyperlink" Target="https://www.colorhexa.com/555555.png" TargetMode="External"/><Relationship Id="rId71" Type="http://schemas.openxmlformats.org/officeDocument/2006/relationships/hyperlink" Target="https://www.colorhexa.com/bfbfbf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www.colorhexa.com/aa5500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www.colorhexa.com/0066cc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www.colorhexa.com/55ffff.png" TargetMode="External"/><Relationship Id="rId61" Type="http://schemas.openxmlformats.org/officeDocument/2006/relationships/hyperlink" Target="https://www.colorhexa.com/1a9898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www.colorhexa.com/00aa00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www.colorhexa.com/ff9900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www.colorhexa.com/ff555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</webImagesSrd>
</file>

<file path=xl/richData/rdrichvalue.xml><?xml version="1.0" encoding="utf-8"?>
<rvData xmlns="http://schemas.microsoft.com/office/spreadsheetml/2017/richdata" count="82">
  <rv s="0">
    <v>0</v>
    <v>1</v>
    <v>0</v>
    <v>0</v>
  </rv>
  <rv s="0">
    <v>1</v>
    <v>4</v>
    <v>0</v>
    <v>0</v>
  </rv>
  <rv s="0">
    <v>2</v>
    <v>1</v>
    <v>0</v>
    <v>0</v>
  </rv>
  <rv s="0">
    <v>3</v>
    <v>4</v>
    <v>0</v>
    <v>0</v>
  </rv>
  <rv s="0">
    <v>4</v>
    <v>1</v>
    <v>0</v>
    <v>0</v>
  </rv>
  <rv s="0">
    <v>5</v>
    <v>1</v>
    <v>0</v>
    <v>0</v>
  </rv>
  <rv s="0">
    <v>6</v>
    <v>4</v>
    <v>0</v>
    <v>0</v>
  </rv>
  <rv s="0">
    <v>7</v>
    <v>1</v>
    <v>0</v>
    <v>0</v>
  </rv>
  <rv s="0">
    <v>8</v>
    <v>4</v>
    <v>0</v>
    <v>0</v>
  </rv>
  <rv s="0">
    <v>9</v>
    <v>1</v>
    <v>0</v>
    <v>0</v>
  </rv>
  <rv s="0">
    <v>10</v>
    <v>1</v>
    <v>0</v>
    <v>0</v>
  </rv>
  <rv s="0">
    <v>11</v>
    <v>4</v>
    <v>0</v>
    <v>0</v>
  </rv>
  <rv s="0">
    <v>12</v>
    <v>1</v>
    <v>0</v>
    <v>0</v>
  </rv>
  <rv s="0">
    <v>13</v>
    <v>4</v>
    <v>0</v>
    <v>0</v>
  </rv>
  <rv s="0">
    <v>14</v>
    <v>1</v>
    <v>0</v>
    <v>0</v>
  </rv>
  <rv s="0">
    <v>15</v>
    <v>1</v>
    <v>0</v>
    <v>0</v>
  </rv>
  <rv s="0">
    <v>16</v>
    <v>4</v>
    <v>0</v>
    <v>0</v>
  </rv>
  <rv s="0">
    <v>17</v>
    <v>1</v>
    <v>0</v>
    <v>0</v>
  </rv>
  <rv s="0">
    <v>18</v>
    <v>4</v>
    <v>0</v>
    <v>0</v>
  </rv>
  <rv s="0">
    <v>19</v>
    <v>1</v>
    <v>0</v>
    <v>0</v>
  </rv>
  <rv s="0">
    <v>20</v>
    <v>1</v>
    <v>0</v>
    <v>0</v>
  </rv>
  <rv s="0">
    <v>21</v>
    <v>4</v>
    <v>0</v>
    <v>0</v>
  </rv>
  <rv s="0">
    <v>22</v>
    <v>1</v>
    <v>0</v>
    <v>0</v>
  </rv>
  <rv s="0">
    <v>23</v>
    <v>4</v>
    <v>0</v>
    <v>0</v>
  </rv>
  <rv s="0">
    <v>24</v>
    <v>1</v>
    <v>0</v>
    <v>0</v>
  </rv>
  <rv s="0">
    <v>25</v>
    <v>1</v>
    <v>0</v>
    <v>0</v>
  </rv>
  <rv s="0">
    <v>26</v>
    <v>4</v>
    <v>0</v>
    <v>0</v>
  </rv>
  <rv s="0">
    <v>27</v>
    <v>1</v>
    <v>0</v>
    <v>0</v>
  </rv>
  <rv s="0">
    <v>28</v>
    <v>4</v>
    <v>0</v>
    <v>0</v>
  </rv>
  <rv s="0">
    <v>29</v>
    <v>1</v>
    <v>0</v>
    <v>0</v>
  </rv>
  <rv s="0">
    <v>30</v>
    <v>1</v>
    <v>0</v>
    <v>0</v>
  </rv>
  <rv s="0">
    <v>31</v>
    <v>4</v>
    <v>0</v>
    <v>0</v>
  </rv>
  <rv s="0">
    <v>32</v>
    <v>1</v>
    <v>0</v>
    <v>0</v>
  </rv>
  <rv s="0">
    <v>33</v>
    <v>4</v>
    <v>0</v>
    <v>0</v>
  </rv>
  <rv s="0">
    <v>34</v>
    <v>1</v>
    <v>0</v>
    <v>0</v>
  </rv>
  <rv s="0">
    <v>35</v>
    <v>1</v>
    <v>0</v>
    <v>0</v>
  </rv>
  <rv s="0">
    <v>36</v>
    <v>4</v>
    <v>0</v>
    <v>0</v>
  </rv>
  <rv s="0">
    <v>37</v>
    <v>4</v>
    <v>0</v>
    <v>0</v>
  </rv>
  <rv s="0">
    <v>3</v>
    <v>1</v>
    <v>0</v>
    <v>0</v>
  </rv>
  <rv s="0">
    <v>1</v>
    <v>1</v>
    <v>0</v>
    <v>0</v>
  </rv>
  <rv s="0">
    <v>0</v>
    <v>4</v>
    <v>0</v>
    <v>0</v>
  </rv>
  <rv s="0">
    <v>2</v>
    <v>4</v>
    <v>0</v>
    <v>0</v>
  </rv>
  <rv s="0">
    <v>38</v>
    <v>1</v>
    <v>0</v>
    <v>0</v>
  </rv>
  <rv s="0">
    <v>6</v>
    <v>1</v>
    <v>0</v>
    <v>0</v>
  </rv>
  <rv s="0">
    <v>5</v>
    <v>4</v>
    <v>0</v>
    <v>0</v>
  </rv>
  <rv s="0">
    <v>8</v>
    <v>1</v>
    <v>0</v>
    <v>0</v>
  </rv>
  <rv s="0">
    <v>7</v>
    <v>4</v>
    <v>0</v>
    <v>0</v>
  </rv>
  <rv s="0">
    <v>39</v>
    <v>1</v>
    <v>0</v>
    <v>0</v>
  </rv>
  <rv s="0">
    <v>11</v>
    <v>1</v>
    <v>0</v>
    <v>0</v>
  </rv>
  <rv s="0">
    <v>10</v>
    <v>4</v>
    <v>0</v>
    <v>0</v>
  </rv>
  <rv s="0">
    <v>13</v>
    <v>1</v>
    <v>0</v>
    <v>0</v>
  </rv>
  <rv s="0">
    <v>12</v>
    <v>4</v>
    <v>0</v>
    <v>0</v>
  </rv>
  <rv s="0">
    <v>40</v>
    <v>1</v>
    <v>0</v>
    <v>0</v>
  </rv>
  <rv s="0">
    <v>16</v>
    <v>1</v>
    <v>0</v>
    <v>0</v>
  </rv>
  <rv s="0">
    <v>15</v>
    <v>4</v>
    <v>0</v>
    <v>0</v>
  </rv>
  <rv s="0">
    <v>18</v>
    <v>1</v>
    <v>0</v>
    <v>0</v>
  </rv>
  <rv s="0">
    <v>17</v>
    <v>4</v>
    <v>0</v>
    <v>0</v>
  </rv>
  <rv s="0">
    <v>41</v>
    <v>1</v>
    <v>0</v>
    <v>0</v>
  </rv>
  <rv s="0">
    <v>21</v>
    <v>1</v>
    <v>0</v>
    <v>0</v>
  </rv>
  <rv s="0">
    <v>20</v>
    <v>4</v>
    <v>0</v>
    <v>0</v>
  </rv>
  <rv s="0">
    <v>23</v>
    <v>1</v>
    <v>0</v>
    <v>0</v>
  </rv>
  <rv s="0">
    <v>22</v>
    <v>4</v>
    <v>0</v>
    <v>0</v>
  </rv>
  <rv s="0">
    <v>42</v>
    <v>1</v>
    <v>0</v>
    <v>0</v>
  </rv>
  <rv s="0">
    <v>26</v>
    <v>1</v>
    <v>0</v>
    <v>0</v>
  </rv>
  <rv s="0">
    <v>25</v>
    <v>4</v>
    <v>0</v>
    <v>0</v>
  </rv>
  <rv s="0">
    <v>28</v>
    <v>1</v>
    <v>0</v>
    <v>0</v>
  </rv>
  <rv s="0">
    <v>27</v>
    <v>4</v>
    <v>0</v>
    <v>0</v>
  </rv>
  <rv s="0">
    <v>43</v>
    <v>1</v>
    <v>0</v>
    <v>0</v>
  </rv>
  <rv s="0">
    <v>31</v>
    <v>1</v>
    <v>0</v>
    <v>0</v>
  </rv>
  <rv s="0">
    <v>30</v>
    <v>4</v>
    <v>0</v>
    <v>0</v>
  </rv>
  <rv s="0">
    <v>33</v>
    <v>1</v>
    <v>0</v>
    <v>0</v>
  </rv>
  <rv s="0">
    <v>32</v>
    <v>4</v>
    <v>0</v>
    <v>0</v>
  </rv>
  <rv s="0">
    <v>37</v>
    <v>1</v>
    <v>0</v>
    <v>0</v>
  </rv>
  <rv s="0">
    <v>36</v>
    <v>1</v>
    <v>0</v>
    <v>0</v>
  </rv>
  <rv s="0">
    <v>35</v>
    <v>4</v>
    <v>0</v>
    <v>0</v>
  </rv>
  <rv s="0">
    <v>34</v>
    <v>4</v>
    <v>0</v>
    <v>0</v>
  </rv>
  <rv s="0">
    <v>44</v>
    <v>4</v>
    <v>0</v>
    <v>0</v>
  </rv>
  <rv s="0">
    <v>44</v>
    <v>1</v>
    <v>0</v>
    <v>0</v>
  </rv>
  <rv s="0">
    <v>45</v>
    <v>1</v>
    <v>0</v>
    <v>0</v>
  </rv>
  <rv s="0">
    <v>46</v>
    <v>4</v>
    <v>0</v>
    <v>0</v>
  </rv>
  <rv s="0">
    <v>46</v>
    <v>1</v>
    <v>0</v>
    <v>0</v>
  </rv>
  <rv s="0">
    <v>45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6135-6D1D-4179-B0AB-12A9F8FD743E}">
  <dimension ref="B1:Y28"/>
  <sheetViews>
    <sheetView tabSelected="1" workbookViewId="0"/>
  </sheetViews>
  <sheetFormatPr defaultColWidth="4.1796875" defaultRowHeight="30" customHeight="1" x14ac:dyDescent="0.35"/>
  <cols>
    <col min="1" max="1" width="4.1796875" style="3"/>
    <col min="2" max="2" width="8.81640625" style="1" bestFit="1" customWidth="1"/>
    <col min="3" max="3" width="24.453125" style="2" bestFit="1" customWidth="1"/>
    <col min="4" max="4" width="15.08984375" style="2" bestFit="1" customWidth="1"/>
    <col min="5" max="5" width="4.26953125" style="3" bestFit="1" customWidth="1"/>
    <col min="6" max="6" width="4.1796875" style="3"/>
    <col min="7" max="7" width="8.81640625" style="3" bestFit="1" customWidth="1"/>
    <col min="8" max="8" width="70.36328125" style="3" bestFit="1" customWidth="1"/>
    <col min="9" max="9" width="15.08984375" style="3" bestFit="1" customWidth="1"/>
    <col min="10" max="11" width="4.26953125" style="3" bestFit="1" customWidth="1"/>
    <col min="12" max="12" width="4.1796875" style="3"/>
    <col min="13" max="13" width="8.81640625" style="3" bestFit="1" customWidth="1"/>
    <col min="14" max="14" width="32.08984375" style="3" bestFit="1" customWidth="1"/>
    <col min="15" max="15" width="15.08984375" style="3" bestFit="1" customWidth="1"/>
    <col min="16" max="17" width="4.26953125" style="3" bestFit="1" customWidth="1"/>
    <col min="18" max="16384" width="4.1796875" style="3"/>
  </cols>
  <sheetData>
    <row r="1" spans="2:20" ht="30" customHeight="1" thickBot="1" x14ac:dyDescent="0.4"/>
    <row r="2" spans="2:20" ht="30" customHeight="1" thickTop="1" thickBot="1" x14ac:dyDescent="0.4">
      <c r="B2" s="5" t="s">
        <v>3</v>
      </c>
      <c r="C2" s="6" t="s">
        <v>4</v>
      </c>
      <c r="D2" s="7" t="s">
        <v>2</v>
      </c>
      <c r="E2" s="7"/>
      <c r="G2" s="5" t="s">
        <v>3</v>
      </c>
      <c r="H2" s="16" t="s">
        <v>4</v>
      </c>
      <c r="I2" s="18" t="s">
        <v>38</v>
      </c>
      <c r="J2" s="19"/>
      <c r="K2" s="20"/>
      <c r="M2" s="5" t="s">
        <v>3</v>
      </c>
      <c r="N2" s="16" t="s">
        <v>87</v>
      </c>
      <c r="O2" s="18" t="s">
        <v>71</v>
      </c>
      <c r="P2" s="19"/>
      <c r="Q2" s="20"/>
      <c r="T2" s="3" t="str">
        <f>"    "&amp;CHAR(34)&amp;N2&amp;CHAR(34)&amp;" : "&amp;CHAR(34)&amp;O2&amp;CHAR(34)&amp;","</f>
        <v xml:space="preserve">    "name" : "philConsole",</v>
      </c>
    </row>
    <row r="3" spans="2:20" s="4" customFormat="1" ht="30" customHeight="1" thickTop="1" thickBot="1" x14ac:dyDescent="0.4">
      <c r="B3" s="5"/>
      <c r="C3" s="6"/>
      <c r="D3" s="8" t="s">
        <v>0</v>
      </c>
      <c r="E3" s="9" t="s">
        <v>3</v>
      </c>
      <c r="G3" s="5"/>
      <c r="H3" s="6"/>
      <c r="I3" s="17" t="s">
        <v>0</v>
      </c>
      <c r="J3" s="21" t="s">
        <v>3</v>
      </c>
      <c r="K3" s="24" t="s">
        <v>3</v>
      </c>
      <c r="M3" s="5"/>
      <c r="N3" s="6"/>
      <c r="O3" s="8" t="s">
        <v>0</v>
      </c>
      <c r="P3" s="21" t="s">
        <v>3</v>
      </c>
      <c r="Q3" s="24" t="s">
        <v>3</v>
      </c>
    </row>
    <row r="4" spans="2:20" ht="30" customHeight="1" thickTop="1" thickBot="1" x14ac:dyDescent="0.4">
      <c r="B4" s="10" cm="1">
        <f t="array" ref="B4:B19">_xlfn.SEQUENCE(16,1,0,1)</f>
        <v>0</v>
      </c>
      <c r="C4" s="11" t="s">
        <v>5</v>
      </c>
      <c r="D4" s="11" t="s">
        <v>21</v>
      </c>
      <c r="E4" s="12" t="e" vm="1">
        <f>_xlfn.IMAGE("https://www.colorhexa.com/"&amp;D4&amp;".png")</f>
        <v>#VALUE!</v>
      </c>
      <c r="G4" s="10" cm="1">
        <f t="array" ref="G4:G19">_xlfn.SEQUENCE(16,1,0,1)</f>
        <v>0</v>
      </c>
      <c r="H4" s="11" t="s">
        <v>52</v>
      </c>
      <c r="I4" s="11" t="s">
        <v>21</v>
      </c>
      <c r="J4" s="22" t="e" vm="1">
        <f>_xlfn.IMAGE("https://www.colorhexa.com/"&amp;I4&amp;".png")</f>
        <v>#VALUE!</v>
      </c>
      <c r="K4" s="23" t="e" vm="2">
        <f>J12</f>
        <v>#VALUE!</v>
      </c>
      <c r="M4" s="10" cm="1">
        <f t="array" ref="M4:M19">_xlfn.SEQUENCE(16,1,0,1)</f>
        <v>0</v>
      </c>
      <c r="N4" s="11" t="s">
        <v>72</v>
      </c>
      <c r="O4" s="11" t="s">
        <v>36</v>
      </c>
      <c r="P4" s="22" t="e" vm="3">
        <f>_xlfn.IMAGE("https://www.colorhexa.com/"&amp;O4&amp;".png")</f>
        <v>#VALUE!</v>
      </c>
      <c r="Q4" s="23" t="e" vm="4">
        <f>P12</f>
        <v>#VALUE!</v>
      </c>
      <c r="T4" s="3" t="str">
        <f>"    "&amp;CHAR(34)&amp;N4&amp;CHAR(34)&amp;" : "&amp;CHAR(34)&amp;"#"&amp;O4&amp;CHAR(34)&amp;","</f>
        <v xml:space="preserve">    "black" : "#333333",</v>
      </c>
    </row>
    <row r="5" spans="2:20" ht="30" customHeight="1" thickTop="1" thickBot="1" x14ac:dyDescent="0.4">
      <c r="B5" s="10">
        <v>1</v>
      </c>
      <c r="C5" s="11" t="s">
        <v>6</v>
      </c>
      <c r="D5" s="11" t="s">
        <v>1</v>
      </c>
      <c r="E5" s="13" t="e" vm="5">
        <f t="shared" ref="E5:E19" si="0">_xlfn.IMAGE("https://www.colorhexa.com/"&amp;D5&amp;".png")</f>
        <v>#VALUE!</v>
      </c>
      <c r="G5" s="10">
        <v>1</v>
      </c>
      <c r="H5" s="11" t="s">
        <v>55</v>
      </c>
      <c r="I5" s="11" t="s">
        <v>37</v>
      </c>
      <c r="J5" s="13" t="e" vm="6">
        <f t="shared" ref="J5:J19" si="1">_xlfn.IMAGE("https://www.colorhexa.com/"&amp;I5&amp;".png")</f>
        <v>#VALUE!</v>
      </c>
      <c r="K5" s="14" t="e" vm="7">
        <f t="shared" ref="K5:K11" si="2">J13</f>
        <v>#VALUE!</v>
      </c>
      <c r="M5" s="10">
        <v>1</v>
      </c>
      <c r="N5" s="11" t="s">
        <v>73</v>
      </c>
      <c r="O5" s="11" t="s">
        <v>64</v>
      </c>
      <c r="P5" s="13" t="e" vm="8">
        <f t="shared" ref="P5:P23" si="3">_xlfn.IMAGE("https://www.colorhexa.com/"&amp;O5&amp;".png")</f>
        <v>#VALUE!</v>
      </c>
      <c r="Q5" s="14" t="e" vm="9">
        <f t="shared" ref="Q5:Q11" si="4">P13</f>
        <v>#VALUE!</v>
      </c>
      <c r="T5" s="3" t="str">
        <f t="shared" ref="T5:T23" si="5">"    "&amp;CHAR(34)&amp;N5&amp;CHAR(34)&amp;" : "&amp;CHAR(34)&amp;"#"&amp;O5&amp;CHAR(34)&amp;","</f>
        <v xml:space="preserve">    "red" : "#cc0000",</v>
      </c>
    </row>
    <row r="6" spans="2:20" ht="30" customHeight="1" thickTop="1" thickBot="1" x14ac:dyDescent="0.4">
      <c r="B6" s="10">
        <v>2</v>
      </c>
      <c r="C6" s="11" t="s">
        <v>7</v>
      </c>
      <c r="D6" s="11" t="s">
        <v>22</v>
      </c>
      <c r="E6" s="13" t="e" vm="10">
        <f t="shared" si="0"/>
        <v>#VALUE!</v>
      </c>
      <c r="G6" s="10">
        <v>2</v>
      </c>
      <c r="H6" s="11" t="s">
        <v>56</v>
      </c>
      <c r="I6" s="11" t="s">
        <v>40</v>
      </c>
      <c r="J6" s="13" t="e" vm="11">
        <f t="shared" si="1"/>
        <v>#VALUE!</v>
      </c>
      <c r="K6" s="14" t="e" vm="12">
        <f t="shared" si="2"/>
        <v>#VALUE!</v>
      </c>
      <c r="M6" s="10">
        <v>2</v>
      </c>
      <c r="N6" s="11" t="s">
        <v>74</v>
      </c>
      <c r="O6" s="11" t="s">
        <v>65</v>
      </c>
      <c r="P6" s="13" t="e" vm="13">
        <f t="shared" si="3"/>
        <v>#VALUE!</v>
      </c>
      <c r="Q6" s="14" t="e" vm="14">
        <f t="shared" si="4"/>
        <v>#VALUE!</v>
      </c>
      <c r="T6" s="3" t="str">
        <f t="shared" si="5"/>
        <v xml:space="preserve">    "green" : "#009900",</v>
      </c>
    </row>
    <row r="7" spans="2:20" ht="30" customHeight="1" thickTop="1" thickBot="1" x14ac:dyDescent="0.4">
      <c r="B7" s="10">
        <v>3</v>
      </c>
      <c r="C7" s="11" t="s">
        <v>8</v>
      </c>
      <c r="D7" s="11" t="s">
        <v>23</v>
      </c>
      <c r="E7" s="13" t="e" vm="15">
        <f t="shared" si="0"/>
        <v>#VALUE!</v>
      </c>
      <c r="G7" s="10">
        <v>3</v>
      </c>
      <c r="H7" s="11" t="s">
        <v>57</v>
      </c>
      <c r="I7" s="11" t="s">
        <v>39</v>
      </c>
      <c r="J7" s="13" t="e" vm="16">
        <f t="shared" si="1"/>
        <v>#VALUE!</v>
      </c>
      <c r="K7" s="14" t="e" vm="17">
        <f t="shared" si="2"/>
        <v>#VALUE!</v>
      </c>
      <c r="M7" s="10">
        <v>3</v>
      </c>
      <c r="N7" s="11" t="s">
        <v>75</v>
      </c>
      <c r="O7" s="11" t="s">
        <v>66</v>
      </c>
      <c r="P7" s="13" t="e" vm="18">
        <f t="shared" si="3"/>
        <v>#VALUE!</v>
      </c>
      <c r="Q7" s="14" t="e" vm="19">
        <f t="shared" si="4"/>
        <v>#VALUE!</v>
      </c>
      <c r="T7" s="3" t="str">
        <f t="shared" si="5"/>
        <v xml:space="preserve">    "yellow" : "#ff9900",</v>
      </c>
    </row>
    <row r="8" spans="2:20" ht="30" customHeight="1" thickTop="1" thickBot="1" x14ac:dyDescent="0.4">
      <c r="B8" s="10">
        <v>4</v>
      </c>
      <c r="C8" s="11" t="s">
        <v>9</v>
      </c>
      <c r="D8" s="11" t="s">
        <v>24</v>
      </c>
      <c r="E8" s="13" t="e" vm="20">
        <f t="shared" si="0"/>
        <v>#VALUE!</v>
      </c>
      <c r="G8" s="10">
        <v>4</v>
      </c>
      <c r="H8" s="11" t="s">
        <v>49</v>
      </c>
      <c r="I8" s="11" t="s">
        <v>41</v>
      </c>
      <c r="J8" s="13" t="e" vm="21">
        <f t="shared" si="1"/>
        <v>#VALUE!</v>
      </c>
      <c r="K8" s="14" t="e" vm="22">
        <f t="shared" si="2"/>
        <v>#VALUE!</v>
      </c>
      <c r="M8" s="10">
        <v>4</v>
      </c>
      <c r="N8" s="11" t="s">
        <v>76</v>
      </c>
      <c r="O8" s="11" t="s">
        <v>67</v>
      </c>
      <c r="P8" s="13" t="e" vm="23">
        <f t="shared" si="3"/>
        <v>#VALUE!</v>
      </c>
      <c r="Q8" s="14" t="e" vm="24">
        <f t="shared" si="4"/>
        <v>#VALUE!</v>
      </c>
      <c r="T8" s="3" t="str">
        <f t="shared" si="5"/>
        <v xml:space="preserve">    "blue" : "#0066cc",</v>
      </c>
    </row>
    <row r="9" spans="2:20" ht="30" customHeight="1" thickTop="1" thickBot="1" x14ac:dyDescent="0.4">
      <c r="B9" s="10">
        <v>5</v>
      </c>
      <c r="C9" s="11" t="s">
        <v>10</v>
      </c>
      <c r="D9" s="11" t="s">
        <v>25</v>
      </c>
      <c r="E9" s="13" t="e" vm="25">
        <f t="shared" si="0"/>
        <v>#VALUE!</v>
      </c>
      <c r="G9" s="10">
        <v>5</v>
      </c>
      <c r="H9" s="11" t="s">
        <v>62</v>
      </c>
      <c r="I9" s="11" t="s">
        <v>58</v>
      </c>
      <c r="J9" s="13" t="e" vm="26">
        <f t="shared" si="1"/>
        <v>#VALUE!</v>
      </c>
      <c r="K9" s="14" t="e" vm="27">
        <f t="shared" si="2"/>
        <v>#VALUE!</v>
      </c>
      <c r="M9" s="10">
        <v>5</v>
      </c>
      <c r="N9" s="11" t="s">
        <v>77</v>
      </c>
      <c r="O9" s="11" t="s">
        <v>105</v>
      </c>
      <c r="P9" s="13" t="e" vm="28">
        <f t="shared" si="3"/>
        <v>#VALUE!</v>
      </c>
      <c r="Q9" s="14" t="e" vm="29">
        <f t="shared" si="4"/>
        <v>#VALUE!</v>
      </c>
      <c r="T9" s="3" t="str">
        <f t="shared" si="5"/>
        <v xml:space="preserve">    "purple" : "#ff33bb",</v>
      </c>
    </row>
    <row r="10" spans="2:20" ht="30" customHeight="1" thickTop="1" thickBot="1" x14ac:dyDescent="0.4">
      <c r="B10" s="10">
        <v>6</v>
      </c>
      <c r="C10" s="11" t="s">
        <v>11</v>
      </c>
      <c r="D10" s="11" t="s">
        <v>26</v>
      </c>
      <c r="E10" s="13" t="e" vm="30">
        <f t="shared" si="0"/>
        <v>#VALUE!</v>
      </c>
      <c r="G10" s="10">
        <v>6</v>
      </c>
      <c r="H10" s="11" t="s">
        <v>63</v>
      </c>
      <c r="I10" s="11" t="s">
        <v>59</v>
      </c>
      <c r="J10" s="13" t="e" vm="31">
        <f t="shared" si="1"/>
        <v>#VALUE!</v>
      </c>
      <c r="K10" s="14" t="e" vm="32">
        <f t="shared" si="2"/>
        <v>#VALUE!</v>
      </c>
      <c r="M10" s="10">
        <v>6</v>
      </c>
      <c r="N10" s="11" t="s">
        <v>78</v>
      </c>
      <c r="O10" s="11" t="s">
        <v>68</v>
      </c>
      <c r="P10" s="13" t="e" vm="33">
        <f t="shared" si="3"/>
        <v>#VALUE!</v>
      </c>
      <c r="Q10" s="14" t="e" vm="34">
        <f t="shared" si="4"/>
        <v>#VALUE!</v>
      </c>
      <c r="T10" s="3" t="str">
        <f t="shared" si="5"/>
        <v xml:space="preserve">    "cyan" : "#00cccc",</v>
      </c>
    </row>
    <row r="11" spans="2:20" ht="30" customHeight="1" thickTop="1" thickBot="1" x14ac:dyDescent="0.4">
      <c r="B11" s="10">
        <v>7</v>
      </c>
      <c r="C11" s="11" t="s">
        <v>12</v>
      </c>
      <c r="D11" s="11" t="s">
        <v>27</v>
      </c>
      <c r="E11" s="13" t="e" vm="35">
        <f t="shared" si="0"/>
        <v>#VALUE!</v>
      </c>
      <c r="G11" s="10">
        <v>7</v>
      </c>
      <c r="H11" s="15" t="s">
        <v>53</v>
      </c>
      <c r="I11" s="11" t="s">
        <v>47</v>
      </c>
      <c r="J11" s="13" t="e" vm="36">
        <f t="shared" si="1"/>
        <v>#VALUE!</v>
      </c>
      <c r="K11" s="14" t="e" vm="37">
        <f t="shared" si="2"/>
        <v>#VALUE!</v>
      </c>
      <c r="M11" s="10">
        <v>7</v>
      </c>
      <c r="N11" s="11" t="s">
        <v>79</v>
      </c>
      <c r="O11" s="11" t="s">
        <v>27</v>
      </c>
      <c r="P11" s="13" t="e" vm="35">
        <f t="shared" si="3"/>
        <v>#VALUE!</v>
      </c>
      <c r="Q11" s="14" t="e" vm="38">
        <f t="shared" si="4"/>
        <v>#VALUE!</v>
      </c>
      <c r="T11" s="3" t="str">
        <f t="shared" si="5"/>
        <v xml:space="preserve">    "white" : "#aaaaaa",</v>
      </c>
    </row>
    <row r="12" spans="2:20" ht="30" customHeight="1" thickTop="1" thickBot="1" x14ac:dyDescent="0.4">
      <c r="B12" s="10">
        <v>8</v>
      </c>
      <c r="C12" s="11" t="s">
        <v>13</v>
      </c>
      <c r="D12" s="11" t="s">
        <v>28</v>
      </c>
      <c r="E12" s="13" t="e" vm="39">
        <f t="shared" si="0"/>
        <v>#VALUE!</v>
      </c>
      <c r="G12" s="10">
        <v>8</v>
      </c>
      <c r="H12" s="15" t="s">
        <v>54</v>
      </c>
      <c r="I12" s="11" t="s">
        <v>48</v>
      </c>
      <c r="J12" s="13" t="e" vm="40">
        <f t="shared" si="1"/>
        <v>#VALUE!</v>
      </c>
      <c r="K12" s="14" t="e" vm="41">
        <f>J4</f>
        <v>#VALUE!</v>
      </c>
      <c r="M12" s="10">
        <v>8</v>
      </c>
      <c r="N12" s="11" t="str">
        <f>"bright"&amp;UPPER(LEFT(N4,1))&amp;RIGHT(N4,LEN(N4)-1)</f>
        <v>brightBlack</v>
      </c>
      <c r="O12" s="11" t="s">
        <v>28</v>
      </c>
      <c r="P12" s="13" t="e" vm="39">
        <f t="shared" si="3"/>
        <v>#VALUE!</v>
      </c>
      <c r="Q12" s="14" t="e" vm="42">
        <f>P4</f>
        <v>#VALUE!</v>
      </c>
      <c r="T12" s="3" t="str">
        <f t="shared" si="5"/>
        <v xml:space="preserve">    "brightBlack" : "#555555",</v>
      </c>
    </row>
    <row r="13" spans="2:20" ht="30" customHeight="1" thickTop="1" thickBot="1" x14ac:dyDescent="0.4">
      <c r="B13" s="10">
        <v>9</v>
      </c>
      <c r="C13" s="11" t="s">
        <v>14</v>
      </c>
      <c r="D13" s="11" t="s">
        <v>29</v>
      </c>
      <c r="E13" s="13" t="e" vm="43">
        <f t="shared" si="0"/>
        <v>#VALUE!</v>
      </c>
      <c r="G13" s="10">
        <v>9</v>
      </c>
      <c r="H13" s="11" t="s">
        <v>55</v>
      </c>
      <c r="I13" s="11" t="s">
        <v>42</v>
      </c>
      <c r="J13" s="13" t="e" vm="44">
        <f t="shared" si="1"/>
        <v>#VALUE!</v>
      </c>
      <c r="K13" s="14" t="e" vm="45">
        <f t="shared" ref="K13:K19" si="6">J5</f>
        <v>#VALUE!</v>
      </c>
      <c r="M13" s="10">
        <v>9</v>
      </c>
      <c r="N13" s="11" t="str">
        <f t="shared" ref="N13:N19" si="7">"bright"&amp;UPPER(LEFT(N5,1))&amp;RIGHT(N5,LEN(N5)-1)</f>
        <v>brightRed</v>
      </c>
      <c r="O13" s="11" t="s">
        <v>99</v>
      </c>
      <c r="P13" s="13" t="e" vm="46">
        <f t="shared" si="3"/>
        <v>#VALUE!</v>
      </c>
      <c r="Q13" s="14" t="e" vm="47">
        <f t="shared" ref="Q13:Q19" si="8">P5</f>
        <v>#VALUE!</v>
      </c>
      <c r="T13" s="3" t="str">
        <f t="shared" si="5"/>
        <v xml:space="preserve">    "brightRed" : "#ff6666",</v>
      </c>
    </row>
    <row r="14" spans="2:20" ht="30" customHeight="1" thickTop="1" thickBot="1" x14ac:dyDescent="0.4">
      <c r="B14" s="10">
        <v>10</v>
      </c>
      <c r="C14" s="11" t="s">
        <v>15</v>
      </c>
      <c r="D14" s="11" t="s">
        <v>30</v>
      </c>
      <c r="E14" s="13" t="e" vm="48">
        <f t="shared" si="0"/>
        <v>#VALUE!</v>
      </c>
      <c r="G14" s="10">
        <v>10</v>
      </c>
      <c r="H14" s="11" t="s">
        <v>56</v>
      </c>
      <c r="I14" s="11" t="s">
        <v>44</v>
      </c>
      <c r="J14" s="13" t="e" vm="49">
        <f t="shared" si="1"/>
        <v>#VALUE!</v>
      </c>
      <c r="K14" s="14" t="e" vm="50">
        <f t="shared" si="6"/>
        <v>#VALUE!</v>
      </c>
      <c r="M14" s="10">
        <v>10</v>
      </c>
      <c r="N14" s="11" t="str">
        <f t="shared" si="7"/>
        <v>brightGreen</v>
      </c>
      <c r="O14" s="11" t="s">
        <v>70</v>
      </c>
      <c r="P14" s="13" t="e" vm="51">
        <f t="shared" si="3"/>
        <v>#VALUE!</v>
      </c>
      <c r="Q14" s="14" t="e" vm="52">
        <f t="shared" si="8"/>
        <v>#VALUE!</v>
      </c>
      <c r="T14" s="3" t="str">
        <f t="shared" si="5"/>
        <v xml:space="preserve">    "brightGreen" : "#66ff66",</v>
      </c>
    </row>
    <row r="15" spans="2:20" ht="30" customHeight="1" thickTop="1" thickBot="1" x14ac:dyDescent="0.4">
      <c r="B15" s="10">
        <v>11</v>
      </c>
      <c r="C15" s="11" t="s">
        <v>16</v>
      </c>
      <c r="D15" s="11" t="s">
        <v>31</v>
      </c>
      <c r="E15" s="13" t="e" vm="53">
        <f t="shared" si="0"/>
        <v>#VALUE!</v>
      </c>
      <c r="G15" s="10">
        <v>11</v>
      </c>
      <c r="H15" s="11" t="s">
        <v>57</v>
      </c>
      <c r="I15" s="11" t="s">
        <v>43</v>
      </c>
      <c r="J15" s="13" t="e" vm="54">
        <f t="shared" si="1"/>
        <v>#VALUE!</v>
      </c>
      <c r="K15" s="14" t="e" vm="55">
        <f t="shared" si="6"/>
        <v>#VALUE!</v>
      </c>
      <c r="M15" s="10">
        <v>11</v>
      </c>
      <c r="N15" s="11" t="str">
        <f t="shared" si="7"/>
        <v>brightYellow</v>
      </c>
      <c r="O15" s="11" t="s">
        <v>69</v>
      </c>
      <c r="P15" s="13" t="e" vm="56">
        <f t="shared" si="3"/>
        <v>#VALUE!</v>
      </c>
      <c r="Q15" s="14" t="e" vm="57">
        <f t="shared" si="8"/>
        <v>#VALUE!</v>
      </c>
      <c r="T15" s="3" t="str">
        <f t="shared" si="5"/>
        <v xml:space="preserve">    "brightYellow" : "#ffcc66",</v>
      </c>
    </row>
    <row r="16" spans="2:20" ht="30" customHeight="1" thickTop="1" thickBot="1" x14ac:dyDescent="0.4">
      <c r="B16" s="10">
        <v>12</v>
      </c>
      <c r="C16" s="11" t="s">
        <v>17</v>
      </c>
      <c r="D16" s="11" t="s">
        <v>32</v>
      </c>
      <c r="E16" s="13" t="e" vm="58">
        <f t="shared" si="0"/>
        <v>#VALUE!</v>
      </c>
      <c r="G16" s="10">
        <v>12</v>
      </c>
      <c r="H16" s="11" t="s">
        <v>50</v>
      </c>
      <c r="I16" s="11" t="s">
        <v>45</v>
      </c>
      <c r="J16" s="13" t="e" vm="59">
        <f t="shared" si="1"/>
        <v>#VALUE!</v>
      </c>
      <c r="K16" s="14" t="e" vm="60">
        <f t="shared" si="6"/>
        <v>#VALUE!</v>
      </c>
      <c r="M16" s="10">
        <v>12</v>
      </c>
      <c r="N16" s="11" t="str">
        <f t="shared" si="7"/>
        <v>brightBlue</v>
      </c>
      <c r="O16" s="11" t="s">
        <v>100</v>
      </c>
      <c r="P16" s="13" t="e" vm="61">
        <f t="shared" si="3"/>
        <v>#VALUE!</v>
      </c>
      <c r="Q16" s="14" t="e" vm="62">
        <f t="shared" si="8"/>
        <v>#VALUE!</v>
      </c>
      <c r="T16" s="3" t="str">
        <f t="shared" si="5"/>
        <v xml:space="preserve">    "brightBlue" : "#66bbff",</v>
      </c>
    </row>
    <row r="17" spans="2:25" ht="30" customHeight="1" thickTop="1" thickBot="1" x14ac:dyDescent="0.4">
      <c r="B17" s="10">
        <v>13</v>
      </c>
      <c r="C17" s="11" t="s">
        <v>20</v>
      </c>
      <c r="D17" s="11" t="s">
        <v>33</v>
      </c>
      <c r="E17" s="13" t="e" vm="63">
        <f t="shared" si="0"/>
        <v>#VALUE!</v>
      </c>
      <c r="G17" s="10">
        <v>13</v>
      </c>
      <c r="H17" s="11" t="s">
        <v>62</v>
      </c>
      <c r="I17" s="11" t="s">
        <v>61</v>
      </c>
      <c r="J17" s="13" t="e" vm="64">
        <f t="shared" si="1"/>
        <v>#VALUE!</v>
      </c>
      <c r="K17" s="14" t="e" vm="65">
        <f t="shared" si="6"/>
        <v>#VALUE!</v>
      </c>
      <c r="M17" s="10">
        <v>13</v>
      </c>
      <c r="N17" s="11" t="str">
        <f t="shared" si="7"/>
        <v>brightPurple</v>
      </c>
      <c r="O17" s="11" t="s">
        <v>106</v>
      </c>
      <c r="P17" s="13" t="e" vm="66">
        <f t="shared" si="3"/>
        <v>#VALUE!</v>
      </c>
      <c r="Q17" s="14" t="e" vm="67">
        <f t="shared" si="8"/>
        <v>#VALUE!</v>
      </c>
      <c r="T17" s="3" t="str">
        <f t="shared" si="5"/>
        <v xml:space="preserve">    "brightPurple" : "#ff99dd",</v>
      </c>
    </row>
    <row r="18" spans="2:25" ht="30" customHeight="1" thickTop="1" thickBot="1" x14ac:dyDescent="0.4">
      <c r="B18" s="10">
        <v>14</v>
      </c>
      <c r="C18" s="11" t="s">
        <v>18</v>
      </c>
      <c r="D18" s="11" t="s">
        <v>34</v>
      </c>
      <c r="E18" s="13" t="e" vm="68">
        <f t="shared" si="0"/>
        <v>#VALUE!</v>
      </c>
      <c r="G18" s="10">
        <v>14</v>
      </c>
      <c r="H18" s="11" t="s">
        <v>63</v>
      </c>
      <c r="I18" s="11" t="s">
        <v>60</v>
      </c>
      <c r="J18" s="13" t="e" vm="69">
        <f t="shared" si="1"/>
        <v>#VALUE!</v>
      </c>
      <c r="K18" s="14" t="e" vm="70">
        <f t="shared" si="6"/>
        <v>#VALUE!</v>
      </c>
      <c r="M18" s="10">
        <v>14</v>
      </c>
      <c r="N18" s="11" t="str">
        <f t="shared" si="7"/>
        <v>brightCyan</v>
      </c>
      <c r="O18" s="11" t="s">
        <v>101</v>
      </c>
      <c r="P18" s="13" t="e" vm="71">
        <f t="shared" si="3"/>
        <v>#VALUE!</v>
      </c>
      <c r="Q18" s="14" t="e" vm="72">
        <f t="shared" si="8"/>
        <v>#VALUE!</v>
      </c>
      <c r="T18" s="3" t="str">
        <f t="shared" si="5"/>
        <v xml:space="preserve">    "brightCyan" : "#66ffff",</v>
      </c>
    </row>
    <row r="19" spans="2:25" ht="30" customHeight="1" thickTop="1" thickBot="1" x14ac:dyDescent="0.4">
      <c r="B19" s="10">
        <v>15</v>
      </c>
      <c r="C19" s="11" t="s">
        <v>19</v>
      </c>
      <c r="D19" s="11" t="s">
        <v>35</v>
      </c>
      <c r="E19" s="13" t="e" vm="73">
        <f t="shared" si="0"/>
        <v>#VALUE!</v>
      </c>
      <c r="G19" s="10">
        <v>15</v>
      </c>
      <c r="H19" s="11" t="s">
        <v>51</v>
      </c>
      <c r="I19" s="11" t="s">
        <v>46</v>
      </c>
      <c r="J19" s="13" t="e" vm="74">
        <f t="shared" si="1"/>
        <v>#VALUE!</v>
      </c>
      <c r="K19" s="14" t="e" vm="75">
        <f t="shared" si="6"/>
        <v>#VALUE!</v>
      </c>
      <c r="M19" s="10">
        <v>15</v>
      </c>
      <c r="N19" s="11" t="str">
        <f t="shared" si="7"/>
        <v>brightWhite</v>
      </c>
      <c r="O19" s="11" t="s">
        <v>35</v>
      </c>
      <c r="P19" s="13" t="e" vm="73">
        <f t="shared" si="3"/>
        <v>#VALUE!</v>
      </c>
      <c r="Q19" s="14" t="e" vm="76">
        <f t="shared" si="8"/>
        <v>#VALUE!</v>
      </c>
      <c r="T19" s="3" t="str">
        <f t="shared" si="5"/>
        <v xml:space="preserve">    "brightWhite" : "#ffffff",</v>
      </c>
    </row>
    <row r="20" spans="2:25" ht="30" customHeight="1" thickTop="1" thickBot="1" x14ac:dyDescent="0.4">
      <c r="B20" s="25"/>
      <c r="C20" s="26"/>
      <c r="D20" s="26"/>
      <c r="E20" s="27"/>
      <c r="G20" s="25"/>
      <c r="H20" s="26"/>
      <c r="I20" s="26"/>
      <c r="J20" s="27"/>
      <c r="K20" s="27"/>
      <c r="M20" s="25"/>
      <c r="N20" s="11" t="s">
        <v>82</v>
      </c>
      <c r="O20" s="11" t="s">
        <v>21</v>
      </c>
      <c r="P20" s="13" t="e" vm="1">
        <f t="shared" si="3"/>
        <v>#VALUE!</v>
      </c>
      <c r="Q20" s="14" t="e" vm="77">
        <f>P21</f>
        <v>#VALUE!</v>
      </c>
      <c r="T20" s="3" t="str">
        <f t="shared" si="5"/>
        <v xml:space="preserve">    "background" : "#000000",</v>
      </c>
    </row>
    <row r="21" spans="2:25" ht="30" customHeight="1" thickTop="1" thickBot="1" x14ac:dyDescent="0.4">
      <c r="B21" s="25"/>
      <c r="C21" s="26"/>
      <c r="D21" s="26"/>
      <c r="E21" s="27"/>
      <c r="G21" s="25"/>
      <c r="H21" s="32" t="s">
        <v>73</v>
      </c>
      <c r="I21" s="26" t="s">
        <v>90</v>
      </c>
      <c r="J21" s="27"/>
      <c r="K21" s="27"/>
      <c r="M21" s="25"/>
      <c r="N21" s="11" t="s">
        <v>83</v>
      </c>
      <c r="O21" s="11" t="s">
        <v>84</v>
      </c>
      <c r="P21" s="13" t="e" vm="78">
        <f t="shared" si="3"/>
        <v>#VALUE!</v>
      </c>
      <c r="Q21" s="14" t="e" vm="41">
        <f>P20</f>
        <v>#VALUE!</v>
      </c>
      <c r="T21" s="3" t="str">
        <f t="shared" si="5"/>
        <v xml:space="preserve">    "foreground" : "#dddddd",</v>
      </c>
    </row>
    <row r="22" spans="2:25" ht="30" customHeight="1" thickTop="1" thickBot="1" x14ac:dyDescent="0.4">
      <c r="B22" s="25"/>
      <c r="C22" s="26"/>
      <c r="D22" s="26"/>
      <c r="E22" s="27"/>
      <c r="G22" s="25"/>
      <c r="H22" s="32" t="s">
        <v>75</v>
      </c>
      <c r="I22" s="26" t="s">
        <v>91</v>
      </c>
      <c r="J22" s="2">
        <f>I22-I21</f>
        <v>36</v>
      </c>
      <c r="K22" s="27"/>
      <c r="M22" s="25"/>
      <c r="N22" s="11" t="s">
        <v>80</v>
      </c>
      <c r="O22" s="11" t="s">
        <v>103</v>
      </c>
      <c r="P22" s="13" t="e" vm="79">
        <f t="shared" si="3"/>
        <v>#VALUE!</v>
      </c>
      <c r="Q22" s="14" t="e" vm="80">
        <f>P23</f>
        <v>#VALUE!</v>
      </c>
      <c r="T22" s="3" t="str">
        <f t="shared" si="5"/>
        <v xml:space="preserve">    "cursorColor" : "#8800cc",</v>
      </c>
    </row>
    <row r="23" spans="2:25" ht="30" customHeight="1" thickTop="1" thickBot="1" x14ac:dyDescent="0.4">
      <c r="B23" s="25"/>
      <c r="C23" s="26"/>
      <c r="D23" s="26"/>
      <c r="E23" s="27"/>
      <c r="G23" s="25"/>
      <c r="H23" s="32" t="s">
        <v>74</v>
      </c>
      <c r="I23" s="26" t="s">
        <v>92</v>
      </c>
      <c r="J23" s="2">
        <f>I23-I22</f>
        <v>84</v>
      </c>
      <c r="K23" s="27"/>
      <c r="M23" s="25"/>
      <c r="N23" s="11" t="s">
        <v>81</v>
      </c>
      <c r="O23" s="11" t="s">
        <v>104</v>
      </c>
      <c r="P23" s="13" t="e" vm="81">
        <f t="shared" si="3"/>
        <v>#VALUE!</v>
      </c>
      <c r="Q23" s="14" t="e" vm="82">
        <f>P22</f>
        <v>#VALUE!</v>
      </c>
      <c r="T23" s="3" t="str">
        <f t="shared" si="5"/>
        <v xml:space="preserve">    "selectionBackground" : "#bb99cc",</v>
      </c>
    </row>
    <row r="24" spans="2:25" ht="30" customHeight="1" thickTop="1" thickBot="1" x14ac:dyDescent="0.4">
      <c r="H24" s="32" t="s">
        <v>78</v>
      </c>
      <c r="I24" s="26" t="s">
        <v>93</v>
      </c>
      <c r="J24" s="2">
        <f>I24-I23</f>
        <v>60</v>
      </c>
    </row>
    <row r="25" spans="2:25" ht="30" customHeight="1" thickTop="1" thickBot="1" x14ac:dyDescent="0.4">
      <c r="H25" s="32" t="s">
        <v>76</v>
      </c>
      <c r="I25" s="26" t="s">
        <v>98</v>
      </c>
      <c r="J25" s="2">
        <f>I25-I24</f>
        <v>30</v>
      </c>
      <c r="M25" s="29" t="s">
        <v>86</v>
      </c>
      <c r="N25" s="31" t="s">
        <v>85</v>
      </c>
      <c r="P25" s="14" t="e" cm="1" vm="42">
        <f t="array" ref="P25:W26">TRANSPOSE(P4:Q11)</f>
        <v>#VALUE!</v>
      </c>
      <c r="Q25" s="14" t="e" vm="47">
        <v>#VALUE!</v>
      </c>
      <c r="R25" s="14" t="e" vm="52">
        <v>#VALUE!</v>
      </c>
      <c r="S25" s="14" t="e" vm="57">
        <v>#VALUE!</v>
      </c>
      <c r="T25" s="14" t="e" vm="62">
        <v>#VALUE!</v>
      </c>
      <c r="U25" s="14" t="e" vm="67">
        <v>#VALUE!</v>
      </c>
      <c r="V25" s="14" t="e" vm="72">
        <v>#VALUE!</v>
      </c>
      <c r="W25" s="14" t="e" vm="76">
        <v>#VALUE!</v>
      </c>
      <c r="X25" s="14" t="e" cm="1" vm="41">
        <f t="array" ref="X25:X26">TRANSPOSE(P20:Q20)</f>
        <v>#VALUE!</v>
      </c>
      <c r="Y25" s="14" t="e" cm="1" vm="82">
        <f t="array" ref="Y25:Y26">TRANSPOSE(P22:Q22)</f>
        <v>#VALUE!</v>
      </c>
    </row>
    <row r="26" spans="2:25" ht="30" customHeight="1" thickTop="1" thickBot="1" x14ac:dyDescent="0.4">
      <c r="H26" s="32" t="s">
        <v>94</v>
      </c>
      <c r="I26" s="26" t="s">
        <v>102</v>
      </c>
      <c r="J26" s="2">
        <f>I26-I25</f>
        <v>70</v>
      </c>
      <c r="M26" s="27"/>
      <c r="N26" s="30" t="s">
        <v>85</v>
      </c>
      <c r="P26" s="28" t="e" vm="4">
        <v>#VALUE!</v>
      </c>
      <c r="Q26" s="28" t="e" vm="9">
        <v>#VALUE!</v>
      </c>
      <c r="R26" s="28" t="e" vm="14">
        <v>#VALUE!</v>
      </c>
      <c r="S26" s="28" t="e" vm="19">
        <v>#VALUE!</v>
      </c>
      <c r="T26" s="28" t="e" vm="24">
        <v>#VALUE!</v>
      </c>
      <c r="U26" s="28" t="e" vm="29">
        <v>#VALUE!</v>
      </c>
      <c r="V26" s="28" t="e" vm="34">
        <v>#VALUE!</v>
      </c>
      <c r="W26" s="28" t="e" vm="38">
        <v>#VALUE!</v>
      </c>
      <c r="X26" s="28" t="e" vm="77">
        <v>#VALUE!</v>
      </c>
      <c r="Y26" s="28" t="e" vm="80">
        <v>#VALUE!</v>
      </c>
    </row>
    <row r="27" spans="2:25" ht="30" customHeight="1" thickTop="1" x14ac:dyDescent="0.35">
      <c r="H27" s="32" t="s">
        <v>95</v>
      </c>
      <c r="I27" s="26" t="s">
        <v>96</v>
      </c>
      <c r="J27" s="2">
        <f>I27-I26</f>
        <v>40</v>
      </c>
    </row>
    <row r="28" spans="2:25" ht="30" customHeight="1" x14ac:dyDescent="0.35">
      <c r="H28" s="32" t="s">
        <v>73</v>
      </c>
      <c r="I28" s="26" t="s">
        <v>97</v>
      </c>
      <c r="J28" s="2">
        <f>I28-I27</f>
        <v>40</v>
      </c>
    </row>
  </sheetData>
  <mergeCells count="9">
    <mergeCell ref="O2:Q2"/>
    <mergeCell ref="G2:G3"/>
    <mergeCell ref="H2:H3"/>
    <mergeCell ref="I2:K2"/>
    <mergeCell ref="M2:M3"/>
    <mergeCell ref="N2:N3"/>
    <mergeCell ref="D2:E2"/>
    <mergeCell ref="B2:B3"/>
    <mergeCell ref="C2:C3"/>
  </mergeCells>
  <pageMargins left="0.7" right="0.7" top="0.75" bottom="0.75" header="0.3" footer="0.3"/>
  <headerFooter>
    <oddFooter>&amp;C_x000D_&amp;1#&amp;"Aptos"&amp;9&amp;K00AEFF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AD21-9D03-47AE-9410-3C08A61122D9}">
  <dimension ref="D2:D24"/>
  <sheetViews>
    <sheetView workbookViewId="0">
      <selection activeCell="D3" sqref="D3:D23"/>
    </sheetView>
  </sheetViews>
  <sheetFormatPr defaultRowHeight="14.5" x14ac:dyDescent="0.35"/>
  <sheetData>
    <row r="2" spans="4:4" x14ac:dyDescent="0.35">
      <c r="D2" t="s">
        <v>88</v>
      </c>
    </row>
    <row r="3" spans="4:4" x14ac:dyDescent="0.35">
      <c r="D3" t="str">
        <f>ColourSwatches!T2</f>
        <v xml:space="preserve">    "name" : "philConsole",</v>
      </c>
    </row>
    <row r="4" spans="4:4" x14ac:dyDescent="0.35">
      <c r="D4" t="str">
        <f>ColourSwatches!T20</f>
        <v xml:space="preserve">    "background" : "#000000",</v>
      </c>
    </row>
    <row r="5" spans="4:4" x14ac:dyDescent="0.35">
      <c r="D5" t="str">
        <f>ColourSwatches!T21</f>
        <v xml:space="preserve">    "foreground" : "#dddddd",</v>
      </c>
    </row>
    <row r="6" spans="4:4" x14ac:dyDescent="0.35">
      <c r="D6" t="str">
        <f>ColourSwatches!T22</f>
        <v xml:space="preserve">    "cursorColor" : "#8800cc",</v>
      </c>
    </row>
    <row r="7" spans="4:4" x14ac:dyDescent="0.35">
      <c r="D7" t="str">
        <f>ColourSwatches!T23</f>
        <v xml:space="preserve">    "selectionBackground" : "#bb99cc",</v>
      </c>
    </row>
    <row r="8" spans="4:4" x14ac:dyDescent="0.35">
      <c r="D8" t="str">
        <f>ColourSwatches!T4</f>
        <v xml:space="preserve">    "black" : "#333333",</v>
      </c>
    </row>
    <row r="9" spans="4:4" x14ac:dyDescent="0.35">
      <c r="D9" t="str">
        <f>ColourSwatches!T5</f>
        <v xml:space="preserve">    "red" : "#cc0000",</v>
      </c>
    </row>
    <row r="10" spans="4:4" x14ac:dyDescent="0.35">
      <c r="D10" t="str">
        <f>ColourSwatches!T6</f>
        <v xml:space="preserve">    "green" : "#009900",</v>
      </c>
    </row>
    <row r="11" spans="4:4" x14ac:dyDescent="0.35">
      <c r="D11" t="str">
        <f>ColourSwatches!T7</f>
        <v xml:space="preserve">    "yellow" : "#ff9900",</v>
      </c>
    </row>
    <row r="12" spans="4:4" x14ac:dyDescent="0.35">
      <c r="D12" t="str">
        <f>ColourSwatches!T8</f>
        <v xml:space="preserve">    "blue" : "#0066cc",</v>
      </c>
    </row>
    <row r="13" spans="4:4" x14ac:dyDescent="0.35">
      <c r="D13" t="str">
        <f>ColourSwatches!T9</f>
        <v xml:space="preserve">    "purple" : "#ff33bb",</v>
      </c>
    </row>
    <row r="14" spans="4:4" x14ac:dyDescent="0.35">
      <c r="D14" t="str">
        <f>ColourSwatches!T10</f>
        <v xml:space="preserve">    "cyan" : "#00cccc",</v>
      </c>
    </row>
    <row r="15" spans="4:4" x14ac:dyDescent="0.35">
      <c r="D15" t="str">
        <f>ColourSwatches!T11</f>
        <v xml:space="preserve">    "white" : "#aaaaaa",</v>
      </c>
    </row>
    <row r="16" spans="4:4" x14ac:dyDescent="0.35">
      <c r="D16" t="str">
        <f>ColourSwatches!T12</f>
        <v xml:space="preserve">    "brightBlack" : "#555555",</v>
      </c>
    </row>
    <row r="17" spans="4:4" x14ac:dyDescent="0.35">
      <c r="D17" t="str">
        <f>ColourSwatches!T13</f>
        <v xml:space="preserve">    "brightRed" : "#ff6666",</v>
      </c>
    </row>
    <row r="18" spans="4:4" x14ac:dyDescent="0.35">
      <c r="D18" t="str">
        <f>ColourSwatches!T14</f>
        <v xml:space="preserve">    "brightGreen" : "#66ff66",</v>
      </c>
    </row>
    <row r="19" spans="4:4" x14ac:dyDescent="0.35">
      <c r="D19" t="str">
        <f>ColourSwatches!T15</f>
        <v xml:space="preserve">    "brightYellow" : "#ffcc66",</v>
      </c>
    </row>
    <row r="20" spans="4:4" x14ac:dyDescent="0.35">
      <c r="D20" t="str">
        <f>ColourSwatches!T16</f>
        <v xml:space="preserve">    "brightBlue" : "#66bbff",</v>
      </c>
    </row>
    <row r="21" spans="4:4" x14ac:dyDescent="0.35">
      <c r="D21" t="str">
        <f>ColourSwatches!T17</f>
        <v xml:space="preserve">    "brightPurple" : "#ff99dd",</v>
      </c>
    </row>
    <row r="22" spans="4:4" x14ac:dyDescent="0.35">
      <c r="D22" t="str">
        <f>ColourSwatches!T18</f>
        <v xml:space="preserve">    "brightCyan" : "#66ffff",</v>
      </c>
    </row>
    <row r="23" spans="4:4" x14ac:dyDescent="0.35">
      <c r="D23" t="str">
        <f>ColourSwatches!T19</f>
        <v xml:space="preserve">    "brightWhite" : "#ffffff",</v>
      </c>
    </row>
    <row r="24" spans="4:4" x14ac:dyDescent="0.35">
      <c r="D24" t="s">
        <v>89</v>
      </c>
    </row>
  </sheetData>
  <pageMargins left="0.7" right="0.7" top="0.75" bottom="0.75" header="0.3" footer="0.3"/>
  <headerFooter>
    <oddFooter>&amp;C_x000D_&amp;1#&amp;"Aptos"&amp;9&amp;K00AEFF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ColourSwatches</vt:lpstr>
      <vt:lpstr>ThemeJSON</vt:lpstr>
    </vt:vector>
  </TitlesOfParts>
  <Company>Data3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Antrobus</dc:creator>
  <cp:lastModifiedBy>Philip Antrobus</cp:lastModifiedBy>
  <dcterms:created xsi:type="dcterms:W3CDTF">2026-05-19T22:33:24Z</dcterms:created>
  <dcterms:modified xsi:type="dcterms:W3CDTF">2026-05-20T04:58:03Z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6f5a57-d148-412f-8b11-bda3fcec488f_Enabled">
    <vt:lpwstr>true</vt:lpwstr>
  </property>
  <property fmtid="{D5CDD505-2E9C-101B-9397-08002B2CF9AE}" pid="3" name="MSIP_Label_1e6f5a57-d148-412f-8b11-bda3fcec488f_SetDate">
    <vt:lpwstr>2026-05-20T04:13:56Z</vt:lpwstr>
  </property>
  <property fmtid="{D5CDD505-2E9C-101B-9397-08002B2CF9AE}" pid="4" name="MSIP_Label_1e6f5a57-d148-412f-8b11-bda3fcec488f_Method">
    <vt:lpwstr>Privileged</vt:lpwstr>
  </property>
  <property fmtid="{D5CDD505-2E9C-101B-9397-08002B2CF9AE}" pid="5" name="MSIP_Label_1e6f5a57-d148-412f-8b11-bda3fcec488f_Name">
    <vt:lpwstr>PUBLIC</vt:lpwstr>
  </property>
  <property fmtid="{D5CDD505-2E9C-101B-9397-08002B2CF9AE}" pid="6" name="MSIP_Label_1e6f5a57-d148-412f-8b11-bda3fcec488f_SiteId">
    <vt:lpwstr>aee1d42e-29d0-401f-b3a7-4dfa337692cc</vt:lpwstr>
  </property>
  <property fmtid="{D5CDD505-2E9C-101B-9397-08002B2CF9AE}" pid="7" name="MSIP_Label_1e6f5a57-d148-412f-8b11-bda3fcec488f_ActionId">
    <vt:lpwstr>828dd9e8-5422-4a49-82be-802e99acc55e</vt:lpwstr>
  </property>
  <property fmtid="{D5CDD505-2E9C-101B-9397-08002B2CF9AE}" pid="8" name="MSIP_Label_1e6f5a57-d148-412f-8b11-bda3fcec488f_ContentBits">
    <vt:lpwstr>2</vt:lpwstr>
  </property>
  <property fmtid="{D5CDD505-2E9C-101B-9397-08002B2CF9AE}" pid="9" name="MSIP_Label_1e6f5a57-d148-412f-8b11-bda3fcec488f_Tag">
    <vt:lpwstr>10, 0, 1, 1</vt:lpwstr>
  </property>
</Properties>
</file>